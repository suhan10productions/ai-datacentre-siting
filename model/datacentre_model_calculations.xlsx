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tilisation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3" fontId="5" fillId="0" borderId="0" pivotButton="0" quotePrefix="0" xfId="0"/>
    <xf numFmtId="3" fontId="5" fillId="3" borderId="0" pivotButton="0" quotePrefix="0" xfId="0"/>
    <xf numFmtId="0" fontId="4" fillId="0" borderId="0" applyAlignment="1" pivotButton="0" quotePrefix="0" xfId="0">
      <alignment vertical="top" wrapText="1"/>
    </xf>
    <xf numFmtId="9" fontId="5" fillId="0" borderId="0" pivotButton="0" quotePrefix="0" xfId="0"/>
    <xf numFmtId="9" fontId="5" fillId="3" borderId="0" pivotButton="0" quotePrefix="0" xfId="0"/>
    <xf numFmtId="2" fontId="5" fillId="0" borderId="0" pivotButton="0" quotePrefix="0" xfId="0"/>
    <xf numFmtId="2" fontId="5" fillId="3" borderId="0" pivotButton="0" quotePrefix="0" xfId="0"/>
    <xf numFmtId="164" fontId="6" fillId="0" borderId="0" pivotButton="0" quotePrefix="0" xfId="0"/>
    <xf numFmtId="164" fontId="6" fillId="3" borderId="0" pivotButton="0" quotePrefix="0" xfId="0"/>
    <xf numFmtId="164" fontId="5" fillId="0" borderId="0" pivotButton="0" quotePrefix="0" xfId="0"/>
    <xf numFmtId="1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0" fontId="4" fillId="0" borderId="0" pivotButton="0" quotePrefix="0" xfId="0"/>
    <xf numFmtId="166" fontId="4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166" fontId="3" fillId="0" borderId="0" pivotButton="0" quotePrefix="0" xfId="0"/>
    <xf numFmtId="9" fontId="4" fillId="0" borderId="0" pivotButton="0" quotePrefix="0" xfId="0"/>
    <xf numFmtId="0" fontId="7" fillId="0" borderId="0" pivotButton="0" quotePrefix="0" xfId="0"/>
    <xf numFmtId="167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4" fontId="3" fillId="3" borderId="0" pivotButton="0" quotePrefix="0" xfId="0"/>
    <xf numFmtId="10" fontId="6" fillId="0" borderId="0" pivotButton="0" quotePrefix="0" xfId="0"/>
    <xf numFmtId="9" fontId="6" fillId="0" borderId="0" pivotButton="0" quotePrefix="0" xfId="0"/>
    <xf numFmtId="167" fontId="3" fillId="0" borderId="0" pivotButton="0" quotePrefix="0" xfId="0"/>
    <xf numFmtId="2" fontId="3" fillId="0" borderId="0" pivotButton="0" quotePrefix="0" xfId="0"/>
    <xf numFmtId="165" fontId="4" fillId="0" borderId="0" pivotButton="0" quotePrefix="0" xfId="0"/>
    <xf numFmtId="2" fontId="6" fillId="0" borderId="0" pivotButton="0" quotePrefix="0" xfId="0"/>
    <xf numFmtId="3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3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10" customWidth="1" min="4" max="4"/>
    <col width="10" customWidth="1" min="5" max="5"/>
    <col width="24" customWidth="1" min="6" max="6"/>
    <col width="70" customWidth="1" min="7" max="7"/>
  </cols>
  <sheetData>
    <row r="2">
      <c r="B2" s="1" t="inlineStr">
        <is>
          <t>Model inputs</t>
        </is>
      </c>
    </row>
    <row r="3">
      <c r="B3" s="2" t="inlineStr">
        <is>
          <t>Blue cells are inputs; edit these and every result recalculates. Low / Central / High are the sensitivity range used in Section 4.2.</t>
        </is>
      </c>
    </row>
    <row r="5">
      <c r="B5" s="3" t="inlineStr">
        <is>
          <t>Parameter</t>
        </is>
      </c>
      <c r="C5" s="3" t="inlineStr">
        <is>
          <t>Low</t>
        </is>
      </c>
      <c r="D5" s="3" t="inlineStr">
        <is>
          <t>Central</t>
        </is>
      </c>
      <c r="E5" s="3" t="inlineStr">
        <is>
          <t>High</t>
        </is>
      </c>
      <c r="F5" s="3" t="inlineStr">
        <is>
          <t>Unit</t>
        </is>
      </c>
      <c r="G5" s="3" t="inlineStr">
        <is>
          <t>Source</t>
        </is>
      </c>
    </row>
    <row r="6" ht="30" customHeight="1">
      <c r="B6" s="4" t="inlineStr">
        <is>
          <t>Installed IT capacity, 2031</t>
        </is>
      </c>
      <c r="C6" s="5" t="n">
        <v>180</v>
      </c>
      <c r="D6" s="6" t="n">
        <v>200</v>
      </c>
      <c r="E6" s="5" t="n">
        <v>220</v>
      </c>
      <c r="F6" s="4" t="inlineStr">
        <is>
          <t>GW</t>
        </is>
      </c>
      <c r="G6" s="7" t="inlineStr">
        <is>
          <t>JLL (2026), Section 3.2; tested range of plus or minus 10%</t>
        </is>
      </c>
    </row>
    <row r="7" ht="30" customHeight="1">
      <c r="B7" s="4" t="inlineStr">
        <is>
          <t>Server idle power share</t>
        </is>
      </c>
      <c r="C7" s="8" t="n">
        <v>0.2</v>
      </c>
      <c r="D7" s="9" t="n">
        <v>0.27</v>
      </c>
      <c r="E7" s="8" t="n">
        <v>0.36</v>
      </c>
      <c r="F7" s="4" t="inlineStr">
        <is>
          <t>fraction of maximum power</t>
        </is>
      </c>
      <c r="G7" s="7" t="inlineStr">
        <is>
          <t>Shehabi et al. (2024), LBNL, p. 27: conventional servers 36% (2023), 27% (2028); AI servers 20%. Central holds the 2028 value flat to 2031</t>
        </is>
      </c>
    </row>
    <row r="8" ht="30" customHeight="1">
      <c r="B8" s="4" t="inlineStr">
        <is>
          <t>PUE</t>
        </is>
      </c>
      <c r="C8" s="10" t="n">
        <v>1.04</v>
      </c>
      <c r="D8" s="11" t="n">
        <v>1.3</v>
      </c>
      <c r="E8" s="10" t="n">
        <v>1.57</v>
      </c>
      <c r="F8" s="4" t="inlineStr">
        <is>
          <t>ratio</t>
        </is>
      </c>
      <c r="G8" s="7" t="inlineStr">
        <is>
          <t>Low: RAND new-build trajectory. Central: 2031 capacity shares applied to 1.15 (hyperscale, just below LBNL 2023 range 1.16-1.28) and 1.57 (rest) = 1.29, rounded. High: Uptime Institute fleet average. Section 3.2</t>
        </is>
      </c>
    </row>
    <row r="9" ht="30" customHeight="1">
      <c r="B9" s="4" t="inlineStr">
        <is>
          <t>Grid carbon intensity</t>
        </is>
      </c>
      <c r="C9" s="5" t="n">
        <v>345</v>
      </c>
      <c r="D9" s="6" t="n">
        <v>395</v>
      </c>
      <c r="E9" s="5" t="n">
        <v>445</v>
      </c>
      <c r="F9" s="4" t="inlineStr">
        <is>
          <t>g CO2 per kWh</t>
        </is>
      </c>
      <c r="G9" s="7" t="inlineStr">
        <is>
          <t>High: IEA 2024 global average. Low: IEA 2025-2027 decline (~3.6%/yr) carried to 2031. Central: midpoint</t>
        </is>
      </c>
    </row>
    <row r="10" ht="30" customHeight="1">
      <c r="B10" s="4" t="inlineStr">
        <is>
          <t>WUE (direct water)</t>
        </is>
      </c>
      <c r="C10" s="10" t="n">
        <v>0.32</v>
      </c>
      <c r="D10" s="11" t="n">
        <v>0.48</v>
      </c>
      <c r="E10" s="10" t="n">
        <v>1.8</v>
      </c>
      <c r="F10" s="4" t="inlineStr">
        <is>
          <t>L per kWh of IT energy</t>
        </is>
      </c>
      <c r="G10" s="7" t="inlineStr">
        <is>
          <t>Central: upper end of LBNL 2024 projected US average (p. 49). Low: LBNL 2024 hyperscale median (p. 48). High: LBNL 2016 average</t>
        </is>
      </c>
    </row>
    <row r="11" ht="30" customHeight="1">
      <c r="B11" s="4" t="inlineStr">
        <is>
          <t>Base-year calibration factor (rho)</t>
        </is>
      </c>
      <c r="C11" s="12">
        <f>Calibration!$C$29</f>
        <v/>
      </c>
      <c r="D11" s="13">
        <f>Calibration!$C$29</f>
        <v/>
      </c>
      <c r="E11" s="14" t="n">
        <v>1</v>
      </c>
      <c r="F11" s="4" t="inlineStr">
        <is>
          <t>ratio</t>
        </is>
      </c>
      <c r="G11" s="7" t="inlineStr">
        <is>
          <t>Low and central: calibrated so the model reproduces the IEA's 2026 estimate (Calibration sheet, Eq. 7). High: no calibration (model as built)</t>
        </is>
      </c>
    </row>
    <row r="12">
      <c r="B12" s="3" t="inlineStr">
        <is>
          <t>Constant</t>
        </is>
      </c>
      <c r="C12" s="3" t="inlineStr">
        <is>
          <t>Value</t>
        </is>
      </c>
      <c r="D12" s="3" t="inlineStr"/>
      <c r="E12" s="3" t="inlineStr"/>
      <c r="F12" s="3" t="inlineStr">
        <is>
          <t>Unit</t>
        </is>
      </c>
      <c r="G12" s="3" t="inlineStr">
        <is>
          <t>Source</t>
        </is>
      </c>
    </row>
    <row r="13">
      <c r="B13" s="4" t="inlineStr">
        <is>
          <t>Hours per year</t>
        </is>
      </c>
      <c r="C13" s="5" t="n">
        <v>8760</v>
      </c>
      <c r="F13" s="4" t="inlineStr">
        <is>
          <t>hours</t>
        </is>
      </c>
      <c r="G13" s="4" t="inlineStr">
        <is>
          <t>365 x 24</t>
        </is>
      </c>
    </row>
    <row r="14">
      <c r="B14" s="4" t="inlineStr">
        <is>
          <t>LBNL series start year</t>
        </is>
      </c>
      <c r="C14" s="15" t="n">
        <v>2014</v>
      </c>
      <c r="F14" s="4" t="inlineStr">
        <is>
          <t>year</t>
        </is>
      </c>
      <c r="G14" s="4" t="inlineStr">
        <is>
          <t>Shehabi et al. (2024), p. 28</t>
        </is>
      </c>
    </row>
    <row r="15">
      <c r="B15" s="4" t="inlineStr">
        <is>
          <t>LBNL series end year</t>
        </is>
      </c>
      <c r="C15" s="15" t="n">
        <v>2027</v>
      </c>
      <c r="F15" s="4" t="inlineStr">
        <is>
          <t>year</t>
        </is>
      </c>
      <c r="G15" s="4" t="inlineStr">
        <is>
          <t>Shehabi et al. (2024), p. 28</t>
        </is>
      </c>
    </row>
    <row r="16">
      <c r="B16" s="4" t="inlineStr">
        <is>
          <t>Projection year</t>
        </is>
      </c>
      <c r="C16" s="15" t="n">
        <v>2031</v>
      </c>
      <c r="F16" s="4" t="inlineStr">
        <is>
          <t>year</t>
        </is>
      </c>
      <c r="G16" s="4" t="inlineStr">
        <is>
          <t>Section 3.2</t>
        </is>
      </c>
    </row>
    <row r="17">
      <c r="B17" s="4" t="inlineStr">
        <is>
          <t>UNU-INWEH water footprint, 2030</t>
        </is>
      </c>
      <c r="C17" s="16" t="n">
        <v>9.300000000000001</v>
      </c>
      <c r="F17" s="4" t="inlineStr">
        <is>
          <t>trillion litres</t>
        </is>
      </c>
      <c r="G17" s="4" t="inlineStr">
        <is>
          <t>UNU-INWEH (2026); direct plus electricity-generation water</t>
        </is>
      </c>
    </row>
    <row r="18">
      <c r="B18" s="4" t="inlineStr">
        <is>
          <t>Energy basis of the UNU figure</t>
        </is>
      </c>
      <c r="C18" s="5" t="n">
        <v>945</v>
      </c>
      <c r="F18" s="4" t="inlineStr">
        <is>
          <t>TWh</t>
        </is>
      </c>
      <c r="G18" s="4" t="inlineStr">
        <is>
          <t>IEA 2030 base case, Sections 1 and 4.1</t>
        </is>
      </c>
    </row>
    <row r="19">
      <c r="B19" s="4" t="inlineStr">
        <is>
          <t>S&amp;P 2030 demand estimate</t>
        </is>
      </c>
      <c r="C19" s="5" t="n">
        <v>1587</v>
      </c>
      <c r="F19" s="4" t="inlineStr">
        <is>
          <t>TWh</t>
        </is>
      </c>
      <c r="G19" s="4" t="inlineStr">
        <is>
          <t>S&amp;P Global 451 Research, Sections 1 and 4.1</t>
        </is>
      </c>
    </row>
    <row r="20">
      <c r="B20" s="4" t="inlineStr">
        <is>
          <t>Committed nuclear capacity</t>
        </is>
      </c>
      <c r="C20" s="16" t="n">
        <v>9.800000000000001</v>
      </c>
      <c r="F20" s="4" t="inlineStr">
        <is>
          <t>GW</t>
        </is>
      </c>
      <c r="G20" s="4" t="inlineStr">
        <is>
          <t>SMR Intel (2026), Section 5.2</t>
        </is>
      </c>
    </row>
    <row r="21">
      <c r="B21" s="4" t="inlineStr">
        <is>
          <t>Nuclear capacity factor</t>
        </is>
      </c>
      <c r="C21" s="8" t="n">
        <v>0.9</v>
      </c>
      <c r="F21" s="4" t="inlineStr">
        <is>
          <t>fraction</t>
        </is>
      </c>
      <c r="G21" s="4" t="inlineStr">
        <is>
          <t>Typical US fleet, Section 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5" customWidth="1" min="5" max="5"/>
    <col width="14" customWidth="1" min="6" max="6"/>
    <col width="16" customWidth="1" min="7" max="7"/>
    <col width="60" customWidth="1" min="8" max="8"/>
  </cols>
  <sheetData>
    <row r="2">
      <c r="B2" s="1" t="inlineStr">
        <is>
          <t>Fleet utilisation and electrical load factor (Section 3.2)</t>
        </is>
      </c>
    </row>
    <row r="3">
      <c r="B3" s="2" t="inlineStr">
        <is>
          <t>LBNL facility-type utilisation (operational time) extrapolated linearly to 2031, weighted by capacity share, then converted to electrical load with the idle share.</t>
        </is>
      </c>
    </row>
    <row r="5">
      <c r="B5" s="3" t="inlineStr">
        <is>
          <t>Facility type</t>
        </is>
      </c>
      <c r="C5" s="3" t="inlineStr">
        <is>
          <t>2014</t>
        </is>
      </c>
      <c r="D5" s="3" t="inlineStr">
        <is>
          <t>2027</t>
        </is>
      </c>
      <c r="E5" s="3" t="inlineStr">
        <is>
          <t>Extrapolated 2031</t>
        </is>
      </c>
      <c r="F5" s="3" t="inlineStr">
        <is>
          <t>Source</t>
        </is>
      </c>
    </row>
    <row r="6">
      <c r="B6" s="4" t="inlineStr">
        <is>
          <t>Hyperscale</t>
        </is>
      </c>
      <c r="C6" s="17" t="n">
        <v>0.45</v>
      </c>
      <c r="D6" s="17" t="n">
        <v>0.5</v>
      </c>
      <c r="E6" s="18">
        <f>D6+(D6-C6)/(Inputs!$C$15-Inputs!$C$14)*(Inputs!$C$16-Inputs!$C$15)</f>
        <v/>
      </c>
      <c r="F6" s="4" t="inlineStr">
        <is>
          <t>Shehabi et al. (2024), p. 28</t>
        </is>
      </c>
    </row>
    <row r="7">
      <c r="B7" s="4" t="inlineStr">
        <is>
          <t>Colocation</t>
        </is>
      </c>
      <c r="C7" s="17" t="n">
        <v>0.21</v>
      </c>
      <c r="D7" s="17" t="n">
        <v>0.35</v>
      </c>
      <c r="E7" s="18">
        <f>D7+(D7-C7)/(Inputs!$C$15-Inputs!$C$14)*(Inputs!$C$16-Inputs!$C$15)</f>
        <v/>
      </c>
      <c r="F7" s="4" t="inlineStr">
        <is>
          <t>Shehabi et al. (2024), p. 28</t>
        </is>
      </c>
    </row>
    <row r="8">
      <c r="B8" s="4" t="inlineStr">
        <is>
          <t>Internal / small</t>
        </is>
      </c>
      <c r="C8" s="17" t="n">
        <v>0.11</v>
      </c>
      <c r="D8" s="17" t="n">
        <v>0.2</v>
      </c>
      <c r="E8" s="18">
        <f>D8+(D8-C8)/(Inputs!$C$15-Inputs!$C$14)*(Inputs!$C$16-Inputs!$C$15)</f>
        <v/>
      </c>
      <c r="F8" s="4" t="inlineStr">
        <is>
          <t>Shehabi et al. (2024), p. 28</t>
        </is>
      </c>
    </row>
    <row r="10" ht="30" customHeight="1">
      <c r="B10" s="3" t="inlineStr">
        <is>
          <t>Capacity-share scenario</t>
        </is>
      </c>
      <c r="C10" s="3" t="inlineStr">
        <is>
          <t>Hyperscale share</t>
        </is>
      </c>
      <c r="D10" s="3" t="inlineStr">
        <is>
          <t>Colocation share</t>
        </is>
      </c>
      <c r="E10" s="3" t="inlineStr">
        <is>
          <t>Internal / small share</t>
        </is>
      </c>
      <c r="F10" s="3" t="inlineStr">
        <is>
          <t>Weighted utilisation</t>
        </is>
      </c>
      <c r="G10" s="3" t="inlineStr">
        <is>
          <t>Load factor (central idle share)</t>
        </is>
      </c>
      <c r="H10" s="3" t="inlineStr">
        <is>
          <t>Note</t>
        </is>
      </c>
    </row>
    <row r="11">
      <c r="B11" s="4" t="inlineStr">
        <is>
          <t>Slower consolidation (low)</t>
        </is>
      </c>
      <c r="C11" s="8" t="n">
        <v>0.6</v>
      </c>
      <c r="D11" s="8" t="n">
        <v>0.1696969696969697</v>
      </c>
      <c r="E11" s="8" t="n">
        <v>0.2303030303030303</v>
      </c>
      <c r="F11" s="18">
        <f>C11*$E$6+D11*$E$7+E11*$E$8</f>
        <v/>
      </c>
      <c r="G11" s="19">
        <f>Inputs!$D$7+(1-Inputs!$D$7)*F11</f>
        <v/>
      </c>
      <c r="H11" s="4" t="inlineStr">
        <is>
          <t>Hyperscale 60%, rest in the 2031 ratio 14:19 (assumption)</t>
        </is>
      </c>
    </row>
    <row r="12">
      <c r="B12" s="20" t="inlineStr">
        <is>
          <t>Central (Synergy projection)</t>
        </is>
      </c>
      <c r="C12" s="8" t="n">
        <v>0.67</v>
      </c>
      <c r="D12" s="8" t="n">
        <v>0.14</v>
      </c>
      <c r="E12" s="8" t="n">
        <v>0.19</v>
      </c>
      <c r="F12" s="21">
        <f>C12*$E$6+D12*$E$7+E12*$E$8</f>
        <v/>
      </c>
      <c r="G12" s="22">
        <f>Inputs!$D$7+(1-Inputs!$D$7)*F12</f>
        <v/>
      </c>
      <c r="H12" s="4" t="inlineStr">
        <is>
          <t>Synergy Research Group (2026): hyperscale 67%, on-premises 19%, colocation 14% by difference</t>
        </is>
      </c>
    </row>
    <row r="13">
      <c r="B13" s="4" t="inlineStr">
        <is>
          <t>All-hyperscale (high)</t>
        </is>
      </c>
      <c r="C13" s="8" t="n">
        <v>1</v>
      </c>
      <c r="D13" s="8" t="n">
        <v>0</v>
      </c>
      <c r="E13" s="8" t="n">
        <v>0</v>
      </c>
      <c r="F13" s="18">
        <f>C13*$E$6+D13*$E$7+E13*$E$8</f>
        <v/>
      </c>
      <c r="G13" s="19">
        <f>Inputs!$D$7+(1-Inputs!$D$7)*F13</f>
        <v/>
      </c>
      <c r="H13" s="4" t="inlineStr">
        <is>
          <t>Upper bound</t>
        </is>
      </c>
    </row>
    <row r="15">
      <c r="B15" s="4" t="inlineStr">
        <is>
          <t>Check: shares sum to 100%</t>
        </is>
      </c>
    </row>
    <row r="16">
      <c r="B16" s="4" t="inlineStr">
        <is>
          <t>Slower consolidation (low)</t>
        </is>
      </c>
      <c r="C16" s="23">
        <f>C11+D11+E11</f>
        <v/>
      </c>
    </row>
    <row r="17">
      <c r="B17" s="4" t="inlineStr">
        <is>
          <t>Central (Synergy projection)</t>
        </is>
      </c>
      <c r="C17" s="23">
        <f>C12+D12+E12</f>
        <v/>
      </c>
    </row>
    <row r="18">
      <c r="B18" s="4" t="inlineStr">
        <is>
          <t>All-hyperscale (high)</t>
        </is>
      </c>
      <c r="C18" s="23">
        <f>C13+D13+E13</f>
        <v/>
      </c>
    </row>
    <row r="20">
      <c r="B20" s="24" t="inlineStr">
        <is>
          <t>Load factor = idle share + (1 - idle share) x utilisation  (Shehabi et al., 2024, pp. 18-19: linear interpolation between idle and maximum power)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2">
      <c r="B2" s="1" t="inlineStr">
        <is>
          <t>Base-year check and calibration (Section 3.2, Eq. 7)</t>
        </is>
      </c>
    </row>
    <row r="3">
      <c r="B3" s="2" t="inlineStr">
        <is>
          <t>Runs the model for 2026 and compares it with published estimates of 2026 use. rho = IEA 2026 estimate / model 2026 facility energy.</t>
        </is>
      </c>
    </row>
    <row r="5">
      <c r="B5" s="3" t="inlineStr">
        <is>
          <t>Item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Source</t>
        </is>
      </c>
    </row>
    <row r="6">
      <c r="B6" s="4" t="inlineStr">
        <is>
          <t>Installed IT capacity, start of 2026</t>
        </is>
      </c>
      <c r="C6" s="5" t="n">
        <v>103</v>
      </c>
      <c r="D6" s="4" t="inlineStr">
        <is>
          <t>GW</t>
        </is>
      </c>
      <c r="E6" s="4" t="inlineStr">
        <is>
          <t>JLL (2026)</t>
        </is>
      </c>
    </row>
    <row r="7">
      <c r="B7" s="4" t="inlineStr">
        <is>
          <t>Completions expected during 2025</t>
        </is>
      </c>
      <c r="C7" s="5" t="n">
        <v>7</v>
      </c>
      <c r="D7" s="4" t="inlineStr">
        <is>
          <t>GW</t>
        </is>
      </c>
      <c r="E7" s="4" t="inlineStr">
        <is>
          <t>JLL (2025)</t>
        </is>
      </c>
    </row>
    <row r="8">
      <c r="B8" s="4" t="inlineStr">
        <is>
          <t>Average installed capacity, 2025</t>
        </is>
      </c>
      <c r="C8" s="25">
        <f>C6-C7/2</f>
        <v/>
      </c>
      <c r="D8" s="4" t="inlineStr">
        <is>
          <t>GW</t>
        </is>
      </c>
      <c r="E8" s="4" t="inlineStr">
        <is>
          <t>mid-year</t>
        </is>
      </c>
    </row>
    <row r="9">
      <c r="B9" s="4" t="inlineStr">
        <is>
          <t>Hyperscale share, 2025</t>
        </is>
      </c>
      <c r="C9" s="17" t="n">
        <v>0.48</v>
      </c>
      <c r="D9" s="4" t="inlineStr"/>
      <c r="E9" s="4" t="inlineStr">
        <is>
          <t>Synergy Research Group (2026)</t>
        </is>
      </c>
    </row>
    <row r="10">
      <c r="B10" s="4" t="inlineStr">
        <is>
          <t>Colocation share, 2025</t>
        </is>
      </c>
      <c r="C10" s="17" t="n">
        <v>0.2</v>
      </c>
      <c r="D10" s="4" t="inlineStr"/>
      <c r="E10" s="4" t="inlineStr">
        <is>
          <t>Synergy Research Group (2026)</t>
        </is>
      </c>
    </row>
    <row r="11">
      <c r="B11" s="4" t="inlineStr">
        <is>
          <t>On-premises (internal) share, 2025</t>
        </is>
      </c>
      <c r="C11" s="17" t="n">
        <v>0.32</v>
      </c>
      <c r="D11" s="4" t="inlineStr"/>
      <c r="E11" s="4" t="inlineStr">
        <is>
          <t>Synergy Research Group (2026)</t>
        </is>
      </c>
    </row>
    <row r="12">
      <c r="B12" s="4" t="inlineStr">
        <is>
          <t>Hyperscale utilisation, 2025</t>
        </is>
      </c>
      <c r="C12" s="18">
        <f>Utilisation!$D$6+(Utilisation!$D$6-Utilisation!$C$6)/(Inputs!$C$15-Inputs!$C$14)*(2025-Inputs!$C$15)</f>
        <v/>
      </c>
      <c r="D12" s="4" t="inlineStr"/>
      <c r="E12" s="4" t="inlineStr">
        <is>
          <t>LBNL trend at 2025</t>
        </is>
      </c>
    </row>
    <row r="13">
      <c r="B13" s="4" t="inlineStr">
        <is>
          <t>Colocation utilisation, 2025</t>
        </is>
      </c>
      <c r="C13" s="18">
        <f>Utilisation!$D$7+(Utilisation!$D$7-Utilisation!$C$7)/(Inputs!$C$15-Inputs!$C$14)*(2025-Inputs!$C$15)</f>
        <v/>
      </c>
      <c r="D13" s="4" t="inlineStr"/>
      <c r="E13" s="4" t="inlineStr">
        <is>
          <t>LBNL trend at 2025</t>
        </is>
      </c>
    </row>
    <row r="14">
      <c r="B14" s="4" t="inlineStr">
        <is>
          <t>Internal / small utilisation, 2025</t>
        </is>
      </c>
      <c r="C14" s="18">
        <f>Utilisation!$D$8+(Utilisation!$D$8-Utilisation!$C$8)/(Inputs!$C$15-Inputs!$C$14)*(2025-Inputs!$C$15)</f>
        <v/>
      </c>
      <c r="D14" s="4" t="inlineStr"/>
      <c r="E14" s="4" t="inlineStr">
        <is>
          <t>LBNL trend at 2025</t>
        </is>
      </c>
    </row>
    <row r="15">
      <c r="B15" s="4" t="inlineStr">
        <is>
          <t>Fleet utilisation, 2025</t>
        </is>
      </c>
      <c r="C15" s="18">
        <f>C9*C12+C10*C13+C11*C14</f>
        <v/>
      </c>
      <c r="D15" s="4" t="inlineStr"/>
      <c r="E15" s="4" t="inlineStr">
        <is>
          <t>capacity-weighted</t>
        </is>
      </c>
    </row>
    <row r="16">
      <c r="B16" s="4" t="inlineStr">
        <is>
          <t>Idle share, 2023</t>
        </is>
      </c>
      <c r="C16" s="8" t="n">
        <v>0.36</v>
      </c>
      <c r="D16" s="4" t="inlineStr">
        <is>
          <t>of max power</t>
        </is>
      </c>
      <c r="E16" s="4" t="inlineStr">
        <is>
          <t>Shehabi et al. (2024), p. 27</t>
        </is>
      </c>
    </row>
    <row r="17">
      <c r="B17" s="4" t="inlineStr">
        <is>
          <t>Idle share, 2028</t>
        </is>
      </c>
      <c r="C17" s="8" t="n">
        <v>0.27</v>
      </c>
      <c r="D17" s="4" t="inlineStr">
        <is>
          <t>of max power</t>
        </is>
      </c>
      <c r="E17" s="4" t="inlineStr">
        <is>
          <t>Shehabi et al. (2024), p. 27</t>
        </is>
      </c>
    </row>
    <row r="18">
      <c r="B18" s="4" t="inlineStr">
        <is>
          <t>Idle share, 2025</t>
        </is>
      </c>
      <c r="C18" s="19">
        <f>C16+(C17-C16)*2/5</f>
        <v/>
      </c>
      <c r="D18" s="4" t="inlineStr">
        <is>
          <t>of max power</t>
        </is>
      </c>
      <c r="E18" s="4" t="inlineStr">
        <is>
          <t>linear interpolation</t>
        </is>
      </c>
    </row>
    <row r="19">
      <c r="B19" s="4" t="inlineStr">
        <is>
          <t>Load factor, 2025</t>
        </is>
      </c>
      <c r="C19" s="18">
        <f>C18+(1-C18)*C15</f>
        <v/>
      </c>
      <c r="D19" s="4" t="inlineStr"/>
      <c r="E19" s="4" t="inlineStr">
        <is>
          <t>Eq. 6</t>
        </is>
      </c>
    </row>
    <row r="20">
      <c r="B20" s="4" t="inlineStr">
        <is>
          <t>PUE, 2025</t>
        </is>
      </c>
      <c r="C20" s="10" t="n">
        <v>1.56</v>
      </c>
      <c r="D20" s="4" t="inlineStr"/>
      <c r="E20" s="4" t="inlineStr">
        <is>
          <t>Uptime Institute (2024) fleet average</t>
        </is>
      </c>
    </row>
    <row r="21">
      <c r="B21" s="4" t="inlineStr">
        <is>
          <t>Model facility energy, 2025</t>
        </is>
      </c>
      <c r="C21" s="26">
        <f>C8*C19*Inputs!$C$13/1000*C20</f>
        <v/>
      </c>
      <c r="D21" s="4" t="inlineStr">
        <is>
          <t>TWh</t>
        </is>
      </c>
      <c r="E21" s="4" t="inlineStr">
        <is>
          <t>Eqs. 1-2 with rho = 1</t>
        </is>
      </c>
    </row>
    <row r="22">
      <c r="B22" s="4" t="inlineStr">
        <is>
          <t>IEA data centre use, 2024</t>
        </is>
      </c>
      <c r="C22" s="5" t="n">
        <v>415</v>
      </c>
      <c r="D22" s="4" t="inlineStr">
        <is>
          <t>TWh</t>
        </is>
      </c>
      <c r="E22" s="4" t="inlineStr">
        <is>
          <t>IEA (2025a)</t>
        </is>
      </c>
    </row>
    <row r="23">
      <c r="B23" s="4" t="inlineStr">
        <is>
          <t>IEA growth in 2025</t>
        </is>
      </c>
      <c r="C23" s="8" t="n">
        <v>0.17</v>
      </c>
      <c r="D23" s="4" t="inlineStr"/>
      <c r="E23" s="4" t="inlineStr">
        <is>
          <t>IEA (2026)</t>
        </is>
      </c>
    </row>
    <row r="24">
      <c r="B24" s="4" t="inlineStr">
        <is>
          <t>IEA estimate, 2025</t>
        </is>
      </c>
      <c r="C24" s="26">
        <f>C22*(1+C23)</f>
        <v/>
      </c>
      <c r="D24" s="4" t="inlineStr">
        <is>
          <t>TWh</t>
        </is>
      </c>
      <c r="E24" s="4" t="inlineStr"/>
    </row>
    <row r="25">
      <c r="B25" s="4" t="inlineStr">
        <is>
          <t>451 Research, 2025</t>
        </is>
      </c>
      <c r="C25" s="5" t="n">
        <v>860</v>
      </c>
      <c r="D25" s="4" t="inlineStr">
        <is>
          <t>TWh</t>
        </is>
      </c>
      <c r="E25" s="4" t="inlineStr">
        <is>
          <t>S&amp;P Global (2025), includes crypto mining</t>
        </is>
      </c>
    </row>
    <row r="26">
      <c r="B26" s="4" t="inlineStr">
        <is>
          <t>Model / IEA, 2025</t>
        </is>
      </c>
      <c r="C26" s="27">
        <f>C21/C24</f>
        <v/>
      </c>
      <c r="D26" s="4" t="inlineStr">
        <is>
          <t>x</t>
        </is>
      </c>
      <c r="E26" s="4" t="inlineStr"/>
    </row>
    <row r="27">
      <c r="B27" s="4" t="inlineStr">
        <is>
          <t>Model / 451 Research, 2025</t>
        </is>
      </c>
      <c r="C27" s="27">
        <f>C21/C25</f>
        <v/>
      </c>
      <c r="D27" s="4" t="inlineStr">
        <is>
          <t>x</t>
        </is>
      </c>
      <c r="E27" s="4" t="inlineStr"/>
    </row>
    <row r="28">
      <c r="B28" s="4" t="inlineStr">
        <is>
          <t>IEA energy per GW of capacity, 2025</t>
        </is>
      </c>
      <c r="C28" s="27">
        <f>C24/C8</f>
        <v/>
      </c>
      <c r="D28" s="4" t="inlineStr">
        <is>
          <t>TWh per GW</t>
        </is>
      </c>
      <c r="E28" s="4" t="inlineStr"/>
    </row>
    <row r="29">
      <c r="B29" s="20" t="inlineStr">
        <is>
          <t>Calibration factor rho</t>
        </is>
      </c>
      <c r="C29" s="28">
        <f>C24/C21</f>
        <v/>
      </c>
      <c r="D29" s="4" t="inlineStr"/>
      <c r="E29" s="4" t="inlineStr">
        <is>
          <t>Eq. 7</t>
        </is>
      </c>
    </row>
    <row r="30">
      <c r="B30" s="4" t="inlineStr">
        <is>
          <t>IEA energy per GW of capacity, 2030</t>
        </is>
      </c>
      <c r="C30" s="27">
        <f>Inputs!$C$18/Inputs!$D$6</f>
        <v/>
      </c>
      <c r="D30" s="4" t="inlineStr">
        <is>
          <t>TWh per GW</t>
        </is>
      </c>
      <c r="E30" s="4" t="inlineStr">
        <is>
          <t>IEA 2030 / JLL 2030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5" customWidth="1" min="3" max="3"/>
    <col width="15" customWidth="1" min="4" max="4"/>
    <col width="15" customWidth="1" min="5" max="5"/>
    <col width="12" customWidth="1" min="6" max="6"/>
    <col width="10" customWidth="1" min="7" max="7"/>
    <col width="11" customWidth="1" min="8" max="8"/>
    <col width="11" customWidth="1" min="9" max="9"/>
    <col width="9" customWidth="1" min="10" max="10"/>
    <col width="13" customWidth="1" min="11" max="11"/>
    <col width="14" customWidth="1" min="12" max="12"/>
    <col width="10" customWidth="1" min="13" max="13"/>
    <col width="13" customWidth="1" min="14" max="14"/>
    <col width="14" customWidth="1" min="15" max="15"/>
  </cols>
  <sheetData>
    <row r="2">
      <c r="B2" s="1" t="inlineStr">
        <is>
          <t>Results (Sections 4 and 5.2)</t>
        </is>
      </c>
    </row>
    <row r="3">
      <c r="B3" s="2" t="inlineStr">
        <is>
          <t>Every value is a formula. Green cells pull from other sheets.</t>
        </is>
      </c>
    </row>
    <row r="5">
      <c r="B5" s="20" t="inlineStr">
        <is>
          <t>A. Central case, step by step</t>
        </is>
      </c>
    </row>
    <row r="6">
      <c r="B6" s="3" t="inlineStr">
        <is>
          <t>Step</t>
        </is>
      </c>
      <c r="C6" s="3" t="inlineStr">
        <is>
          <t>Value</t>
        </is>
      </c>
      <c r="D6" s="3" t="inlineStr">
        <is>
          <t>Unit</t>
        </is>
      </c>
      <c r="E6" s="3" t="inlineStr">
        <is>
          <t>Formula</t>
        </is>
      </c>
    </row>
    <row r="7">
      <c r="B7" s="4" t="inlineStr">
        <is>
          <t>Weighted utilisation</t>
        </is>
      </c>
      <c r="C7" s="29">
        <f>Utilisation!$F$12</f>
        <v/>
      </c>
      <c r="D7" s="4" t="inlineStr">
        <is>
          <t>share of time servers are working</t>
        </is>
      </c>
      <c r="E7" s="4" t="inlineStr">
        <is>
          <t>Utilisation sheet</t>
        </is>
      </c>
    </row>
    <row r="8">
      <c r="B8" s="4" t="inlineStr">
        <is>
          <t>Idle power share</t>
        </is>
      </c>
      <c r="C8" s="30">
        <f>Inputs!$D$7</f>
        <v/>
      </c>
      <c r="D8" s="4" t="inlineStr">
        <is>
          <t>fraction of maximum power</t>
        </is>
      </c>
      <c r="E8" s="4" t="inlineStr">
        <is>
          <t>Inputs</t>
        </is>
      </c>
    </row>
    <row r="9">
      <c r="B9" s="4" t="inlineStr">
        <is>
          <t>Electrical load factor</t>
        </is>
      </c>
      <c r="C9" s="19">
        <f>C8+(1-C8)*C7</f>
        <v/>
      </c>
      <c r="D9" s="4" t="inlineStr">
        <is>
          <t>fraction of maximum power</t>
        </is>
      </c>
      <c r="E9" s="4" t="inlineStr">
        <is>
          <t>idle + (1 - idle) x utilisation</t>
        </is>
      </c>
    </row>
    <row r="10">
      <c r="B10" s="4" t="inlineStr">
        <is>
          <t>Calibration factor rho</t>
        </is>
      </c>
      <c r="C10" s="12">
        <f>Inputs!$D$11</f>
        <v/>
      </c>
      <c r="D10" s="4" t="inlineStr">
        <is>
          <t>ratio</t>
        </is>
      </c>
      <c r="E10" s="4" t="inlineStr">
        <is>
          <t>Calibration sheet</t>
        </is>
      </c>
    </row>
    <row r="11">
      <c r="B11" s="4" t="inlineStr">
        <is>
          <t>IT energy</t>
        </is>
      </c>
      <c r="C11" s="25">
        <f>C10*Inputs!$D$6*C9*Inputs!$C$13/1000</f>
        <v/>
      </c>
      <c r="D11" s="4" t="inlineStr">
        <is>
          <t>TWh</t>
        </is>
      </c>
      <c r="E11" s="4" t="inlineStr">
        <is>
          <t>rho x capacity x load factor x hours / 1000</t>
        </is>
      </c>
    </row>
    <row r="12">
      <c r="B12" s="4" t="inlineStr">
        <is>
          <t>Total facility energy</t>
        </is>
      </c>
      <c r="C12" s="25">
        <f>C11*Inputs!$D$8</f>
        <v/>
      </c>
      <c r="D12" s="4" t="inlineStr">
        <is>
          <t>TWh</t>
        </is>
      </c>
      <c r="E12" s="4" t="inlineStr">
        <is>
          <t>IT energy x PUE</t>
        </is>
      </c>
    </row>
    <row r="13">
      <c r="B13" s="4" t="inlineStr">
        <is>
          <t>Emissions</t>
        </is>
      </c>
      <c r="C13" s="31">
        <f>C12*Inputs!$D$9/1000</f>
        <v/>
      </c>
      <c r="D13" s="4" t="inlineStr">
        <is>
          <t>Mt CO2</t>
        </is>
      </c>
      <c r="E13" s="4" t="inlineStr">
        <is>
          <t>facility energy x grid intensity / 1000</t>
        </is>
      </c>
    </row>
    <row r="14">
      <c r="B14" s="4" t="inlineStr">
        <is>
          <t>Direct water</t>
        </is>
      </c>
      <c r="C14" s="32">
        <f>C11*Inputs!$D$10/1000</f>
        <v/>
      </c>
      <c r="D14" s="4" t="inlineStr">
        <is>
          <t>trillion litres</t>
        </is>
      </c>
      <c r="E14" s="4" t="inlineStr">
        <is>
          <t>IT energy x WUE / 1000</t>
        </is>
      </c>
    </row>
    <row r="15">
      <c r="B15" s="4" t="inlineStr">
        <is>
          <t>UNU implied combined intensity</t>
        </is>
      </c>
      <c r="C15" s="27">
        <f>Inputs!$C$17*1000/Inputs!$C$18</f>
        <v/>
      </c>
      <c r="D15" s="4" t="inlineStr">
        <is>
          <t>L per kWh</t>
        </is>
      </c>
      <c r="E15" s="4" t="inlineStr">
        <is>
          <t>UNU water / UNU energy</t>
        </is>
      </c>
    </row>
    <row r="16">
      <c r="B16" s="4" t="inlineStr">
        <is>
          <t>Combined water (direct + generation)</t>
        </is>
      </c>
      <c r="C16" s="33">
        <f>C12*C15/1000</f>
        <v/>
      </c>
      <c r="D16" s="4" t="inlineStr">
        <is>
          <t>trillion litres</t>
        </is>
      </c>
      <c r="E16" s="4" t="inlineStr">
        <is>
          <t>facility energy x combined intensity / 1000</t>
        </is>
      </c>
    </row>
    <row r="17">
      <c r="B17" s="4" t="inlineStr">
        <is>
          <t>Combined / direct ratio</t>
        </is>
      </c>
      <c r="C17" s="33">
        <f>C16/C14</f>
        <v/>
      </c>
      <c r="D17" s="4" t="inlineStr">
        <is>
          <t>x</t>
        </is>
      </c>
      <c r="E17" s="4" t="inlineStr"/>
    </row>
    <row r="19">
      <c r="B19" s="20" t="inlineStr">
        <is>
          <t>B. Results under the three PUE values (Section 4.1 table)</t>
        </is>
      </c>
    </row>
    <row r="20">
      <c r="B20" s="3" t="inlineStr"/>
      <c r="C20" s="3" t="inlineStr">
        <is>
          <t>New-build (low PUE)</t>
        </is>
      </c>
      <c r="D20" s="3" t="inlineStr">
        <is>
          <t>Blended fleet (central)</t>
        </is>
      </c>
      <c r="E20" s="3" t="inlineStr">
        <is>
          <t>Current fleet (high PUE)</t>
        </is>
      </c>
      <c r="F20" s="3" t="inlineStr">
        <is>
          <t>Unit</t>
        </is>
      </c>
    </row>
    <row r="21">
      <c r="B21" s="4" t="inlineStr">
        <is>
          <t>PUE</t>
        </is>
      </c>
      <c r="C21" s="34">
        <f>Inputs!$C$8</f>
        <v/>
      </c>
      <c r="D21" s="34">
        <f>Inputs!$D$8</f>
        <v/>
      </c>
      <c r="E21" s="34">
        <f>Inputs!$E$8</f>
        <v/>
      </c>
      <c r="F21" s="4" t="inlineStr"/>
    </row>
    <row r="22">
      <c r="B22" s="4" t="inlineStr">
        <is>
          <t>IT energy</t>
        </is>
      </c>
      <c r="C22" s="25">
        <f>$C$11</f>
        <v/>
      </c>
      <c r="D22" s="25">
        <f>$C$11</f>
        <v/>
      </c>
      <c r="E22" s="25">
        <f>$C$11</f>
        <v/>
      </c>
      <c r="F22" s="4" t="inlineStr">
        <is>
          <t>TWh</t>
        </is>
      </c>
    </row>
    <row r="23">
      <c r="B23" s="4" t="inlineStr">
        <is>
          <t>Total facility energy</t>
        </is>
      </c>
      <c r="C23" s="25">
        <f>$C$11*Inputs!$C$8</f>
        <v/>
      </c>
      <c r="D23" s="25">
        <f>$C$11*Inputs!$D$8</f>
        <v/>
      </c>
      <c r="E23" s="25">
        <f>$C$11*Inputs!$E$8</f>
        <v/>
      </c>
      <c r="F23" s="4" t="inlineStr">
        <is>
          <t>TWh</t>
        </is>
      </c>
    </row>
    <row r="24">
      <c r="B24" s="4" t="inlineStr">
        <is>
          <t>Emissions, static grid</t>
        </is>
      </c>
      <c r="C24" s="25">
        <f>$C$11*Inputs!$C$8*Inputs!$E$9/1000</f>
        <v/>
      </c>
      <c r="D24" s="25">
        <f>$C$11*Inputs!$D$8*Inputs!$E$9/1000</f>
        <v/>
      </c>
      <c r="E24" s="25">
        <f>$C$11*Inputs!$E$8*Inputs!$E$9/1000</f>
        <v/>
      </c>
      <c r="F24" s="4" t="inlineStr">
        <is>
          <t>Mt CO2</t>
        </is>
      </c>
    </row>
    <row r="25">
      <c r="B25" s="4" t="inlineStr">
        <is>
          <t>Emissions, decarbonising grid</t>
        </is>
      </c>
      <c r="C25" s="25">
        <f>$C$11*Inputs!$C$8*Inputs!$C$9/1000</f>
        <v/>
      </c>
      <c r="D25" s="25">
        <f>$C$11*Inputs!$D$8*Inputs!$C$9/1000</f>
        <v/>
      </c>
      <c r="E25" s="25">
        <f>$C$11*Inputs!$E$8*Inputs!$C$9/1000</f>
        <v/>
      </c>
      <c r="F25" s="4" t="inlineStr">
        <is>
          <t>Mt CO2</t>
        </is>
      </c>
    </row>
    <row r="26">
      <c r="B26" s="4" t="inlineStr">
        <is>
          <t>Direct water</t>
        </is>
      </c>
      <c r="C26" s="27">
        <f>$C$14</f>
        <v/>
      </c>
      <c r="D26" s="27">
        <f>$C$14</f>
        <v/>
      </c>
      <c r="E26" s="27">
        <f>$C$14</f>
        <v/>
      </c>
      <c r="F26" s="4" t="inlineStr">
        <is>
          <t>trillion litres</t>
        </is>
      </c>
    </row>
    <row r="29">
      <c r="B29" s="20" t="inlineStr">
        <is>
          <t>C. Bundled scenarios (Section 4.2)</t>
        </is>
      </c>
    </row>
    <row r="30" ht="30" customHeight="1">
      <c r="B30" s="3" t="inlineStr">
        <is>
          <t>Scenario</t>
        </is>
      </c>
      <c r="C30" s="3" t="inlineStr">
        <is>
          <t>Capacity (GW)</t>
        </is>
      </c>
      <c r="D30" s="3" t="inlineStr">
        <is>
          <t>Utilisation</t>
        </is>
      </c>
      <c r="E30" s="3" t="inlineStr">
        <is>
          <t>Idle share</t>
        </is>
      </c>
      <c r="F30" s="3" t="inlineStr">
        <is>
          <t>Load factor</t>
        </is>
      </c>
      <c r="G30" s="3" t="inlineStr">
        <is>
          <t>PUE</t>
        </is>
      </c>
      <c r="H30" s="3" t="inlineStr">
        <is>
          <t>Grid (g/kWh)</t>
        </is>
      </c>
      <c r="I30" s="3" t="inlineStr">
        <is>
          <t>WUE (L/kWh)</t>
        </is>
      </c>
      <c r="J30" s="3" t="inlineStr">
        <is>
          <t>rho</t>
        </is>
      </c>
      <c r="K30" s="3" t="inlineStr">
        <is>
          <t>IT energy (TWh)</t>
        </is>
      </c>
      <c r="L30" s="3" t="inlineStr">
        <is>
          <t>Facility energy (TWh)</t>
        </is>
      </c>
      <c r="M30" s="3" t="inlineStr">
        <is>
          <t>CO2 (Mt)</t>
        </is>
      </c>
      <c r="N30" s="3" t="inlineStr">
        <is>
          <t>Direct water (tn L)</t>
        </is>
      </c>
      <c r="O30" s="3" t="inlineStr">
        <is>
          <t>Combined water (tn L)</t>
        </is>
      </c>
    </row>
    <row r="31">
      <c r="B31" s="4" t="inlineStr">
        <is>
          <t>Low impact</t>
        </is>
      </c>
      <c r="C31" s="35">
        <f>Inputs!$C$6</f>
        <v/>
      </c>
      <c r="D31" s="36">
        <f>Utilisation!$F$11</f>
        <v/>
      </c>
      <c r="E31" s="30">
        <f>Inputs!$C$7</f>
        <v/>
      </c>
      <c r="F31" s="19">
        <f>E31+(1-E31)*D31</f>
        <v/>
      </c>
      <c r="G31" s="34">
        <f>Inputs!$C$8</f>
        <v/>
      </c>
      <c r="H31" s="35">
        <f>Inputs!$C$9</f>
        <v/>
      </c>
      <c r="I31" s="37">
        <f>Inputs!$C$10</f>
        <v/>
      </c>
      <c r="J31" s="12">
        <f>Inputs!$C$11</f>
        <v/>
      </c>
      <c r="K31" s="25">
        <f>J31*C31*F31*Inputs!$C$13/1000</f>
        <v/>
      </c>
      <c r="L31" s="25">
        <f>K31*G31</f>
        <v/>
      </c>
      <c r="M31" s="38">
        <f>L31*H31/1000</f>
        <v/>
      </c>
      <c r="N31" s="32">
        <f>K31*I31/1000</f>
        <v/>
      </c>
      <c r="O31" s="33">
        <f>L31*$C$15/1000</f>
        <v/>
      </c>
    </row>
    <row r="32">
      <c r="B32" s="20" t="inlineStr">
        <is>
          <t>Central</t>
        </is>
      </c>
      <c r="C32" s="35">
        <f>Inputs!$D$6</f>
        <v/>
      </c>
      <c r="D32" s="36">
        <f>Utilisation!$F$12</f>
        <v/>
      </c>
      <c r="E32" s="30">
        <f>Inputs!$D$7</f>
        <v/>
      </c>
      <c r="F32" s="19">
        <f>E32+(1-E32)*D32</f>
        <v/>
      </c>
      <c r="G32" s="34">
        <f>Inputs!$D$8</f>
        <v/>
      </c>
      <c r="H32" s="35">
        <f>Inputs!$D$9</f>
        <v/>
      </c>
      <c r="I32" s="37">
        <f>Inputs!$D$10</f>
        <v/>
      </c>
      <c r="J32" s="12">
        <f>Inputs!$D$11</f>
        <v/>
      </c>
      <c r="K32" s="25">
        <f>J32*C32*F32*Inputs!$C$13/1000</f>
        <v/>
      </c>
      <c r="L32" s="25">
        <f>K32*G32</f>
        <v/>
      </c>
      <c r="M32" s="38">
        <f>L32*H32/1000</f>
        <v/>
      </c>
      <c r="N32" s="32">
        <f>K32*I32/1000</f>
        <v/>
      </c>
      <c r="O32" s="33">
        <f>L32*$C$15/1000</f>
        <v/>
      </c>
    </row>
    <row r="33">
      <c r="B33" s="4" t="inlineStr">
        <is>
          <t>High impact</t>
        </is>
      </c>
      <c r="C33" s="35">
        <f>Inputs!$E$6</f>
        <v/>
      </c>
      <c r="D33" s="36">
        <f>Utilisation!$F$13</f>
        <v/>
      </c>
      <c r="E33" s="30">
        <f>Inputs!$E$7</f>
        <v/>
      </c>
      <c r="F33" s="19">
        <f>E33+(1-E33)*D33</f>
        <v/>
      </c>
      <c r="G33" s="34">
        <f>Inputs!$E$8</f>
        <v/>
      </c>
      <c r="H33" s="35">
        <f>Inputs!$E$9</f>
        <v/>
      </c>
      <c r="I33" s="37">
        <f>Inputs!$E$10</f>
        <v/>
      </c>
      <c r="J33" s="12">
        <f>Inputs!$E$11</f>
        <v/>
      </c>
      <c r="K33" s="25">
        <f>J33*C33*F33*Inputs!$C$13/1000</f>
        <v/>
      </c>
      <c r="L33" s="25">
        <f>K33*G33</f>
        <v/>
      </c>
      <c r="M33" s="38">
        <f>L33*H33/1000</f>
        <v/>
      </c>
      <c r="N33" s="32">
        <f>K33*I33/1000</f>
        <v/>
      </c>
      <c r="O33" s="33">
        <f>L33*$C$15/1000</f>
        <v/>
      </c>
    </row>
    <row r="36">
      <c r="B36" s="20" t="inlineStr">
        <is>
          <t>D. One-at-a-time sensitivity, emissions (Section 4.2)</t>
        </is>
      </c>
    </row>
    <row r="37" ht="30" customHeight="1">
      <c r="B37" s="3" t="inlineStr">
        <is>
          <t>Parameter varied</t>
        </is>
      </c>
      <c r="C37" s="3" t="inlineStr">
        <is>
          <t>Emissions at low end (Mt)</t>
        </is>
      </c>
      <c r="D37" s="3" t="inlineStr">
        <is>
          <t>Emissions at high end (Mt)</t>
        </is>
      </c>
      <c r="E37" s="3" t="inlineStr">
        <is>
          <t>Swing as % of central</t>
        </is>
      </c>
    </row>
    <row r="38">
      <c r="B38" s="4" t="inlineStr">
        <is>
          <t>Base-year calibration (rho)</t>
        </is>
      </c>
      <c r="C38" s="26">
        <f>Inputs!$C$11*Inputs!$D$6*(Inputs!$D$7+(1-Inputs!$D$7)*Utilisation!$F$12)*Inputs!$C$13/1000*Inputs!$D$8*Inputs!$D$9/1000</f>
        <v/>
      </c>
      <c r="D38" s="26">
        <f>Inputs!$E$11*Inputs!$D$6*(Inputs!$D$7+(1-Inputs!$D$7)*Utilisation!$F$12)*Inputs!$C$13/1000*Inputs!$D$8*Inputs!$D$9/1000</f>
        <v/>
      </c>
      <c r="E38" s="39">
        <f>(D38-C38)/$C$13</f>
        <v/>
      </c>
    </row>
    <row r="39">
      <c r="B39" s="4" t="inlineStr">
        <is>
          <t>PUE</t>
        </is>
      </c>
      <c r="C39" s="26">
        <f>Inputs!$D$11*Inputs!$D$6*(Inputs!$D$7+(1-Inputs!$D$7)*Utilisation!$F$12)*Inputs!$C$13/1000*Inputs!$C$8*Inputs!$D$9/1000</f>
        <v/>
      </c>
      <c r="D39" s="26">
        <f>Inputs!$D$11*Inputs!$D$6*(Inputs!$D$7+(1-Inputs!$D$7)*Utilisation!$F$12)*Inputs!$C$13/1000*Inputs!$E$8*Inputs!$D$9/1000</f>
        <v/>
      </c>
      <c r="E39" s="39">
        <f>(D39-C39)/$C$13</f>
        <v/>
      </c>
    </row>
    <row r="40">
      <c r="B40" s="4" t="inlineStr">
        <is>
          <t>Grid carbon intensity</t>
        </is>
      </c>
      <c r="C40" s="26">
        <f>Inputs!$D$11*Inputs!$D$6*(Inputs!$D$7+(1-Inputs!$D$7)*Utilisation!$F$12)*Inputs!$C$13/1000*Inputs!$D$8*Inputs!$C$9/1000</f>
        <v/>
      </c>
      <c r="D40" s="26">
        <f>Inputs!$D$11*Inputs!$D$6*(Inputs!$D$7+(1-Inputs!$D$7)*Utilisation!$F$12)*Inputs!$C$13/1000*Inputs!$D$8*Inputs!$E$9/1000</f>
        <v/>
      </c>
      <c r="E40" s="39">
        <f>(D40-C40)/$C$13</f>
        <v/>
      </c>
    </row>
    <row r="41">
      <c r="B41" s="4" t="inlineStr">
        <is>
          <t>Capacity</t>
        </is>
      </c>
      <c r="C41" s="26">
        <f>Inputs!$D$11*Inputs!$C$6*(Inputs!$D$7+(1-Inputs!$D$7)*Utilisation!$F$12)*Inputs!$C$13/1000*Inputs!$D$8*Inputs!$D$9/1000</f>
        <v/>
      </c>
      <c r="D41" s="26">
        <f>Inputs!$D$11*Inputs!$E$6*(Inputs!$D$7+(1-Inputs!$D$7)*Utilisation!$F$12)*Inputs!$C$13/1000*Inputs!$D$8*Inputs!$D$9/1000</f>
        <v/>
      </c>
      <c r="E41" s="39">
        <f>(D41-C41)/$C$13</f>
        <v/>
      </c>
    </row>
    <row r="42">
      <c r="B42" s="4" t="inlineStr">
        <is>
          <t>Idle power share</t>
        </is>
      </c>
      <c r="C42" s="26">
        <f>Inputs!$D$11*Inputs!$D$6*(Inputs!$C$7+(1-Inputs!$C$7)*Utilisation!$F$12)*Inputs!$C$13/1000*Inputs!$D$8*Inputs!$D$9/1000</f>
        <v/>
      </c>
      <c r="D42" s="26">
        <f>Inputs!$D$11*Inputs!$D$6*(Inputs!$E$7+(1-Inputs!$E$7)*Utilisation!$F$12)*Inputs!$C$13/1000*Inputs!$D$8*Inputs!$D$9/1000</f>
        <v/>
      </c>
      <c r="E42" s="39">
        <f>(D42-C42)/$C$13</f>
        <v/>
      </c>
    </row>
    <row r="43">
      <c r="B43" s="4" t="inlineStr">
        <is>
          <t>Utilisation</t>
        </is>
      </c>
      <c r="C43" s="26">
        <f>Inputs!$D$11*Inputs!$D$6*(Inputs!$D$7+(1-Inputs!$D$7)*Utilisation!$F$11)*Inputs!$C$13/1000*Inputs!$D$8*Inputs!$D$9/1000</f>
        <v/>
      </c>
      <c r="D43" s="26">
        <f>Inputs!$D$11*Inputs!$D$6*(Inputs!$D$7+(1-Inputs!$D$7)*Utilisation!$F$13)*Inputs!$C$13/1000*Inputs!$D$8*Inputs!$D$9/1000</f>
        <v/>
      </c>
      <c r="E43" s="39">
        <f>(D43-C43)/$C$13</f>
        <v/>
      </c>
    </row>
    <row r="45">
      <c r="B45" s="20" t="inlineStr">
        <is>
          <t>Water swing (trillion litres)</t>
        </is>
      </c>
    </row>
    <row r="46">
      <c r="B46" s="3" t="inlineStr">
        <is>
          <t>Parameter varied</t>
        </is>
      </c>
      <c r="C46" s="3" t="inlineStr">
        <is>
          <t>Low end</t>
        </is>
      </c>
      <c r="D46" s="3" t="inlineStr">
        <is>
          <t>High end</t>
        </is>
      </c>
      <c r="E46" s="3" t="inlineStr">
        <is>
          <t>Swing</t>
        </is>
      </c>
    </row>
    <row r="47">
      <c r="B47" s="4" t="inlineStr">
        <is>
          <t>WUE</t>
        </is>
      </c>
      <c r="C47" s="27">
        <f>$C$11*Inputs!$C$10/1000</f>
        <v/>
      </c>
      <c r="D47" s="27">
        <f>$C$11*Inputs!$E$10/1000</f>
        <v/>
      </c>
      <c r="E47" s="27">
        <f>D47-C47</f>
        <v/>
      </c>
    </row>
    <row r="48">
      <c r="B48" s="4" t="inlineStr">
        <is>
          <t>Capacity</t>
        </is>
      </c>
      <c r="C48" s="27">
        <f>$C$10*Inputs!$C$6*$C$9*Inputs!$C$13/1000*Inputs!$D$10/1000</f>
        <v/>
      </c>
      <c r="D48" s="27">
        <f>$C$10*Inputs!$E$6*$C$9*Inputs!$C$13/1000*Inputs!$D$10/1000</f>
        <v/>
      </c>
      <c r="E48" s="27">
        <f>D48-C48</f>
        <v/>
      </c>
    </row>
    <row r="51">
      <c r="B51" s="20" t="inlineStr">
        <is>
          <t>E. Cross-checks</t>
        </is>
      </c>
    </row>
    <row r="52">
      <c r="B52" s="3" t="inlineStr">
        <is>
          <t>Check</t>
        </is>
      </c>
      <c r="C52" s="3" t="inlineStr">
        <is>
          <t>Value</t>
        </is>
      </c>
      <c r="D52" s="3" t="inlineStr">
        <is>
          <t>Unit</t>
        </is>
      </c>
      <c r="E52" s="3" t="inlineStr">
        <is>
          <t>Section</t>
        </is>
      </c>
    </row>
    <row r="53">
      <c r="B53" s="4" t="inlineStr">
        <is>
          <t>Central facility energy vs IEA 2030 (945 TWh)</t>
        </is>
      </c>
      <c r="C53" s="27">
        <f>C12/Inputs!$C$18</f>
        <v/>
      </c>
      <c r="D53" s="4" t="inlineStr">
        <is>
          <t>x</t>
        </is>
      </c>
      <c r="E53" s="4" t="inlineStr">
        <is>
          <t>Section 4.1</t>
        </is>
      </c>
    </row>
    <row r="54">
      <c r="B54" s="4" t="inlineStr">
        <is>
          <t>Uncalibrated central facility energy (rho = 1)</t>
        </is>
      </c>
      <c r="C54" s="26">
        <f>C12/C10</f>
        <v/>
      </c>
      <c r="D54" s="4" t="inlineStr">
        <is>
          <t>TWh</t>
        </is>
      </c>
      <c r="E54" s="4" t="inlineStr">
        <is>
          <t>Section 4.1</t>
        </is>
      </c>
    </row>
    <row r="55">
      <c r="B55" s="4" t="inlineStr">
        <is>
          <t>Combined water vs UNU 9.3 tn L</t>
        </is>
      </c>
      <c r="C55" s="27">
        <f>C16/Inputs!$C$17</f>
        <v/>
      </c>
      <c r="D55" s="4" t="inlineStr">
        <is>
          <t>x</t>
        </is>
      </c>
      <c r="E55" s="4" t="inlineStr">
        <is>
          <t>Section 4.3</t>
        </is>
      </c>
    </row>
    <row r="56">
      <c r="B56" s="4" t="inlineStr">
        <is>
          <t>Nuclear annual supply</t>
        </is>
      </c>
      <c r="C56" s="25">
        <f>Inputs!$C$20*Inputs!$C$21*Inputs!$C$13/1000</f>
        <v/>
      </c>
      <c r="D56" s="4" t="inlineStr">
        <is>
          <t>TWh</t>
        </is>
      </c>
      <c r="E56" s="4" t="inlineStr">
        <is>
          <t>Section 5.2</t>
        </is>
      </c>
    </row>
    <row r="57">
      <c r="B57" s="4" t="inlineStr">
        <is>
          <t>Nuclear share of central facility demand</t>
        </is>
      </c>
      <c r="C57" s="19">
        <f>C56/C12</f>
        <v/>
      </c>
      <c r="D57" s="4" t="inlineStr"/>
      <c r="E57" s="4" t="inlineStr">
        <is>
          <t>Section 5.2</t>
        </is>
      </c>
    </row>
    <row r="58">
      <c r="B58" s="4" t="inlineStr">
        <is>
          <t>Effect of idle-power conversion on energy</t>
        </is>
      </c>
      <c r="C58" s="27">
        <f>C9/C7</f>
        <v/>
      </c>
      <c r="D58" s="4" t="inlineStr">
        <is>
          <t>x (load factor / utilisation)</t>
        </is>
      </c>
      <c r="E58" s="4" t="inlineStr">
        <is>
          <t>Section 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2026-10-23T16:49:16Z</dcterms:created>
  <dcterms:modified xmlns:dcterms="http://purl.org/dc/terms/" xmlns:xsi="http://www.w3.org/2001/XMLSchema-instance" xsi:type="dcterms:W3CDTF">2026-10-23T16:49:16Z</dcterms:modified>
</cp:coreProperties>
</file>